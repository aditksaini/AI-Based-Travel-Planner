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🗂 Feature Tracker" sheetId="2" state="visible" r:id="rId4"/>
    <sheet name="📅 Sprint Log" sheetId="3" state="visible" r:id="rId5"/>
    <sheet name="🐛 Bugs &amp; Issues" sheetId="4" state="visible" r:id="rId6"/>
    <sheet name="🔗 Re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<sst xmlns="http://schemas.openxmlformats.org/spreadsheetml/2006/main" count="314" uniqueCount="165">
  <si>
    <t xml:space="preserve">🚀  AI Travel Planner — Project Tracker</t>
  </si>
  <si>
    <t xml:space="preserve">Last Updated: (enter date)</t>
  </si>
  <si>
    <t xml:space="preserve">Total Features</t>
  </si>
  <si>
    <t xml:space="preserve">✅ Done</t>
  </si>
  <si>
    <t xml:space="preserve">🔄 In Progress</t>
  </si>
  <si>
    <t xml:space="preserve">📋 To Do</t>
  </si>
  <si>
    <t xml:space="preserve">🚫 Blocked</t>
  </si>
  <si>
    <t xml:space="preserve">Overall Progress</t>
  </si>
  <si>
    <t xml:space="preserve">% Complete</t>
  </si>
  <si>
    <t xml:space="preserve">Module / Category</t>
  </si>
  <si>
    <t xml:space="preserve">Total Tasks</t>
  </si>
  <si>
    <t xml:space="preserve">Done</t>
  </si>
  <si>
    <t xml:space="preserve">In Progress</t>
  </si>
  <si>
    <t xml:space="preserve">To Do</t>
  </si>
  <si>
    <t xml:space="preserve">Blocked</t>
  </si>
  <si>
    <t xml:space="preserve">Notes</t>
  </si>
  <si>
    <t xml:space="preserve">Frontend &amp; UI</t>
  </si>
  <si>
    <t xml:space="preserve">AI &amp; NLP (LLM)</t>
  </si>
  <si>
    <t xml:space="preserve">Maps &amp; Places API</t>
  </si>
  <si>
    <t xml:space="preserve">Database &amp; Auth</t>
  </si>
  <si>
    <t xml:space="preserve">Weather &amp; Reviews API</t>
  </si>
  <si>
    <t xml:space="preserve">Hosting &amp; DevOps</t>
  </si>
  <si>
    <t xml:space="preserve">Testing &amp; QA</t>
  </si>
  <si>
    <t xml:space="preserve">Documentation</t>
  </si>
  <si>
    <t xml:space="preserve">🗂  Feature &amp; Task Tracker</t>
  </si>
  <si>
    <t xml:space="preserve">#</t>
  </si>
  <si>
    <t xml:space="preserve">Feature / Task</t>
  </si>
  <si>
    <t xml:space="preserve">Module</t>
  </si>
  <si>
    <t xml:space="preserve">Status</t>
  </si>
  <si>
    <t xml:space="preserve">Priority</t>
  </si>
  <si>
    <t xml:space="preserve">Start Date</t>
  </si>
  <si>
    <t xml:space="preserve">Target Date</t>
  </si>
  <si>
    <t xml:space="preserve">Actual Done</t>
  </si>
  <si>
    <t xml:space="preserve">Effort (hrs)</t>
  </si>
  <si>
    <t xml:space="preserve">Assignee</t>
  </si>
  <si>
    <t xml:space="preserve">Last Updated</t>
  </si>
  <si>
    <t xml:space="preserve">Set up Next.js project with App Router</t>
  </si>
  <si>
    <t xml:space="preserve">High</t>
  </si>
  <si>
    <t xml:space="preserve">You</t>
  </si>
  <si>
    <t xml:space="preserve">Configure Tailwind CSS</t>
  </si>
  <si>
    <t xml:space="preserve">Add Framer Motion animations</t>
  </si>
  <si>
    <t xml:space="preserve">Medium</t>
  </si>
  <si>
    <t xml:space="preserve">Build trip input / prompt UI</t>
  </si>
  <si>
    <t xml:space="preserve">Build itinerary display UI</t>
  </si>
  <si>
    <t xml:space="preserve">Implement Zustand state management</t>
  </si>
  <si>
    <t xml:space="preserve">Responsive mobile layout</t>
  </si>
  <si>
    <t xml:space="preserve">Integrate OpenAI / Claude API</t>
  </si>
  <si>
    <t xml:space="preserve">Set up Vercel AI SDK streaming</t>
  </si>
  <si>
    <t xml:space="preserve">Design JSON schema for itinerary</t>
  </si>
  <si>
    <t xml:space="preserve">Craft system prompt for itinerary gen</t>
  </si>
  <si>
    <t xml:space="preserve">Build 'Chat with itinerary' feature</t>
  </si>
  <si>
    <t xml:space="preserve">AI tool calling for weather/maps</t>
  </si>
  <si>
    <t xml:space="preserve">Integrate Google Places API</t>
  </si>
  <si>
    <t xml:space="preserve">Set up Mapbox GL JS map display</t>
  </si>
  <si>
    <t xml:space="preserve">Route optimization between stops</t>
  </si>
  <si>
    <t xml:space="preserve">Display place photos &amp; ratings</t>
  </si>
  <si>
    <t xml:space="preserve">Set up PostgreSQL (Supabase/Neon)</t>
  </si>
  <si>
    <t xml:space="preserve">Configure Prisma/Drizzle ORM</t>
  </si>
  <si>
    <t xml:space="preserve">Implement Clerk / NextAuth login</t>
  </si>
  <si>
    <t xml:space="preserve">Save &amp; load itineraries for users</t>
  </si>
  <si>
    <t xml:space="preserve">User profile page</t>
  </si>
  <si>
    <t xml:space="preserve">Low</t>
  </si>
  <si>
    <t xml:space="preserve">Integrate WeatherAPI.com</t>
  </si>
  <si>
    <t xml:space="preserve">Feed weather data into AI prompt</t>
  </si>
  <si>
    <t xml:space="preserve">Integrate TripAdvisor / Yelp reviews</t>
  </si>
  <si>
    <t xml:space="preserve">AI review summarization</t>
  </si>
  <si>
    <t xml:space="preserve">Deploy to Vercel</t>
  </si>
  <si>
    <t xml:space="preserve">Set up CI/CD pipeline</t>
  </si>
  <si>
    <t xml:space="preserve">Configure env variables &amp; secrets</t>
  </si>
  <si>
    <t xml:space="preserve">Write unit tests for API routes</t>
  </si>
  <si>
    <t xml:space="preserve">End-to-end testing (Playwright/Cypress)</t>
  </si>
  <si>
    <t xml:space="preserve">API error handling &amp; edge cases</t>
  </si>
  <si>
    <t xml:space="preserve">Write README</t>
  </si>
  <si>
    <t xml:space="preserve">API docs / usage guide</t>
  </si>
  <si>
    <t xml:space="preserve">📅  Weekly Sprint Log</t>
  </si>
  <si>
    <t xml:space="preserve">Sprint #</t>
  </si>
  <si>
    <t xml:space="preserve">Week Start</t>
  </si>
  <si>
    <t xml:space="preserve">Week End</t>
  </si>
  <si>
    <t xml:space="preserve">Goals / Tasks Planned</t>
  </si>
  <si>
    <t xml:space="preserve">Tasks Completed</t>
  </si>
  <si>
    <t xml:space="preserve">Blockers</t>
  </si>
  <si>
    <t xml:space="preserve">Outcome</t>
  </si>
  <si>
    <t xml:space="preserve">🐛  Bug &amp; Issue Tracker</t>
  </si>
  <si>
    <t xml:space="preserve">Title</t>
  </si>
  <si>
    <t xml:space="preserve">Severity</t>
  </si>
  <si>
    <t xml:space="preserve">Reported Date</t>
  </si>
  <si>
    <t xml:space="preserve">Steps to Reproduce</t>
  </si>
  <si>
    <t xml:space="preserve">Expected</t>
  </si>
  <si>
    <t xml:space="preserve">Actual</t>
  </si>
  <si>
    <t xml:space="preserve">Resolution / Notes</t>
  </si>
  <si>
    <t xml:space="preserve">🔗  Tech Stack &amp; Resources</t>
  </si>
  <si>
    <t xml:space="preserve">Category</t>
  </si>
  <si>
    <t xml:space="preserve">Tool / Service</t>
  </si>
  <si>
    <t xml:space="preserve">Purpose</t>
  </si>
  <si>
    <t xml:space="preserve">Docs / Link</t>
  </si>
  <si>
    <t xml:space="preserve">Frontend</t>
  </si>
  <si>
    <t xml:space="preserve">Next.js</t>
  </si>
  <si>
    <t xml:space="preserve">App framework</t>
  </si>
  <si>
    <t xml:space="preserve">https://nextjs.org/docs</t>
  </si>
  <si>
    <t xml:space="preserve">Use App Router</t>
  </si>
  <si>
    <t xml:space="preserve">Tailwind CSS</t>
  </si>
  <si>
    <t xml:space="preserve">Styling</t>
  </si>
  <si>
    <t xml:space="preserve">https://tailwindcss.com/docs</t>
  </si>
  <si>
    <t xml:space="preserve">Framer Motion</t>
  </si>
  <si>
    <t xml:space="preserve">Animations</t>
  </si>
  <si>
    <t xml:space="preserve">https://www.framer.com/motion/</t>
  </si>
  <si>
    <t xml:space="preserve">Premium feel micro-animations</t>
  </si>
  <si>
    <t xml:space="preserve">Zustand</t>
  </si>
  <si>
    <t xml:space="preserve">State management</t>
  </si>
  <si>
    <t xml:space="preserve">https://zustand-demo.pmnd.rs/</t>
  </si>
  <si>
    <t xml:space="preserve">AI / LLM</t>
  </si>
  <si>
    <t xml:space="preserve">OpenAI GPT-4o</t>
  </si>
  <si>
    <t xml:space="preserve">Main LLM</t>
  </si>
  <si>
    <t xml:space="preserve">https://platform.openai.com/docs</t>
  </si>
  <si>
    <t xml:space="preserve">Or Claude 3.5 Sonnet</t>
  </si>
  <si>
    <t xml:space="preserve">Anthropic Claude</t>
  </si>
  <si>
    <t xml:space="preserve">Alternative LLM</t>
  </si>
  <si>
    <t xml:space="preserve">https://docs.anthropic.com</t>
  </si>
  <si>
    <t xml:space="preserve">claude-3-5-sonnet</t>
  </si>
  <si>
    <t xml:space="preserve">Vercel AI SDK</t>
  </si>
  <si>
    <t xml:space="preserve">Streaming AI in Next.js</t>
  </si>
  <si>
    <t xml:space="preserve">https://sdk.vercel.ai/docs</t>
  </si>
  <si>
    <t xml:space="preserve">Handles tool calling too</t>
  </si>
  <si>
    <t xml:space="preserve">Maps</t>
  </si>
  <si>
    <t xml:space="preserve">Google Places API</t>
  </si>
  <si>
    <t xml:space="preserve">Places data &amp; photos</t>
  </si>
  <si>
    <t xml:space="preserve">https://developers.google.com/maps/documentation/places</t>
  </si>
  <si>
    <t xml:space="preserve">Most comprehensive DB</t>
  </si>
  <si>
    <t xml:space="preserve">Mapbox GL JS</t>
  </si>
  <si>
    <t xml:space="preserve">Map display</t>
  </si>
  <si>
    <t xml:space="preserve">https://docs.mapbox.com/mapbox-gl-js/</t>
  </si>
  <si>
    <t xml:space="preserve">Custom map styles</t>
  </si>
  <si>
    <t xml:space="preserve">Google Routes API</t>
  </si>
  <si>
    <t xml:space="preserve">Route optimization</t>
  </si>
  <si>
    <t xml:space="preserve">https://developers.google.com/maps/documentation/routes</t>
  </si>
  <si>
    <t xml:space="preserve">Travel time between stops</t>
  </si>
  <si>
    <t xml:space="preserve">Database</t>
  </si>
  <si>
    <t xml:space="preserve">Supabase</t>
  </si>
  <si>
    <t xml:space="preserve">PostgreSQL hosting</t>
  </si>
  <si>
    <t xml:space="preserve">https://supabase.com/docs</t>
  </si>
  <si>
    <t xml:space="preserve">Free tier available</t>
  </si>
  <si>
    <t xml:space="preserve">Prisma ORM</t>
  </si>
  <si>
    <t xml:space="preserve">DB queries (TypeScript)</t>
  </si>
  <si>
    <t xml:space="preserve">https://www.prisma.io/docs</t>
  </si>
  <si>
    <t xml:space="preserve">Auth</t>
  </si>
  <si>
    <t xml:space="preserve">Clerk</t>
  </si>
  <si>
    <t xml:space="preserve">User authentication</t>
  </si>
  <si>
    <t xml:space="preserve">https://clerk.com/docs</t>
  </si>
  <si>
    <t xml:space="preserve">Easy Google/Apple login</t>
  </si>
  <si>
    <t xml:space="preserve">External APIs</t>
  </si>
  <si>
    <t xml:space="preserve">WeatherAPI.com</t>
  </si>
  <si>
    <t xml:space="preserve">Weather data</t>
  </si>
  <si>
    <t xml:space="preserve">https://www.weatherapi.com/docs/</t>
  </si>
  <si>
    <t xml:space="preserve">Feed into AI prompt</t>
  </si>
  <si>
    <t xml:space="preserve">TripAdvisor API</t>
  </si>
  <si>
    <t xml:space="preserve">Reviews</t>
  </si>
  <si>
    <t xml:space="preserve">https://tripadvisor-content-api.readme.io/</t>
  </si>
  <si>
    <t xml:space="preserve">Yelp Fusion API</t>
  </si>
  <si>
    <t xml:space="preserve">Reviews (alt)</t>
  </si>
  <si>
    <t xml:space="preserve">https://docs.developer.yelp.com/</t>
  </si>
  <si>
    <t xml:space="preserve">Hosting</t>
  </si>
  <si>
    <t xml:space="preserve">Vercel</t>
  </si>
  <si>
    <t xml:space="preserve">Deployment</t>
  </si>
  <si>
    <t xml:space="preserve">https://vercel.com/docs</t>
  </si>
  <si>
    <t xml:space="preserve">Auto scales with Next.js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</si>
</sst>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6C63FF"/>
      <name val="Arial"/>
      <family val="0"/>
      <charset val="1"/>
    </font>
    <font>
      <b val="true"/>
      <sz val="11"/>
      <color rgb="FF00D4A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u val="single"/>
      <sz val="10"/>
      <color rgb="FF6C63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6C63FF"/>
        <bgColor rgb="FF6B7280"/>
      </patternFill>
    </fill>
    <fill>
      <patternFill patternType="solid">
        <fgColor rgb="FF22C55E"/>
        <bgColor rgb="FF00D4AA"/>
      </patternFill>
    </fill>
    <fill>
      <patternFill patternType="solid">
        <fgColor rgb="FFF59E0B"/>
        <bgColor rgb="FFFFCC00"/>
      </patternFill>
    </fill>
    <fill>
      <patternFill patternType="solid">
        <fgColor rgb="FF6B7280"/>
        <bgColor rgb="FF808080"/>
      </patternFill>
    </fill>
    <fill>
      <patternFill patternType="solid">
        <fgColor rgb="FFEF4444"/>
        <bgColor rgb="FF993366"/>
      </patternFill>
    </fill>
    <fill>
      <patternFill patternType="solid">
        <fgColor rgb="FF2D2B55"/>
        <bgColor rgb="FF1F2937"/>
      </patternFill>
    </fill>
    <fill>
      <patternFill patternType="solid">
        <fgColor rgb="FFF8F7FF"/>
        <bgColor rgb="FFFFFFFF"/>
      </patternFill>
    </fill>
    <fill>
      <patternFill patternType="solid">
        <fgColor rgb="FFFFFFFF"/>
        <bgColor rgb="FFF8F7FF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E5E7EB"/>
        <bgColor rgb="FFFEE2E2"/>
      </patternFill>
    </fill>
    <fill>
      <patternFill patternType="solid">
        <fgColor rgb="FFDCFCE7"/>
        <bgColor rgb="FFE5E7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6C63FF"/>
      </top>
      <bottom style="medium">
        <color rgb="FF6C63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E5E7EB"/>
      <rgbColor rgb="FFF8F7FF"/>
      <rgbColor rgb="FFFFFF99"/>
      <rgbColor rgb="FF99CCFF"/>
      <rgbColor rgb="FFFF99CC"/>
      <rgbColor rgb="FFCC99FF"/>
      <rgbColor rgb="FFFEE2E2"/>
      <rgbColor rgb="FF6C63FF"/>
      <rgbColor rgb="FF33CCCC"/>
      <rgbColor rgb="FF99CC00"/>
      <rgbColor rgb="FFFFCC00"/>
      <rgbColor rgb="FFF59E0B"/>
      <rgbColor rgb="FFEF4444"/>
      <rgbColor rgb="FF6B7280"/>
      <rgbColor rgb="FF969696"/>
      <rgbColor rgb="FF003366"/>
      <rgbColor rgb="FF22C55E"/>
      <rgbColor rgb="FF003300"/>
      <rgbColor rgb="FF1F2937"/>
      <rgbColor rgb="FF993300"/>
      <rgbColor rgb="FF993366"/>
      <rgbColor rgb="FF333399"/>
      <rgbColor rgb="FF2D2B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customFormat="false" ht="18" hidden="false" customHeight="true" outlineLevel="0" collapsed="false">
      <c r="A5" s="3"/>
      <c r="B5" s="3"/>
      <c r="C5" s="4"/>
      <c r="D5" s="4"/>
      <c r="E5" s="5"/>
      <c r="F5" s="5"/>
      <c r="G5" s="6"/>
      <c r="H5" s="6"/>
      <c r="I5" s="7"/>
      <c r="J5" s="7"/>
    </row>
    <row r="6" customFormat="false" ht="21.75" hidden="false" customHeight="true" outlineLevel="0" collapsed="false">
      <c r="A6" s="8" t="n">
        <f aca="false">COUNTA('🗂 Feature Tracker'!A3:A200)-COUNTIF('🗂 Feature Tracker'!A3:A200,"")</f>
        <v>-130</v>
      </c>
      <c r="B6" s="8"/>
      <c r="C6" s="9" t="n">
        <f aca="false">COUNTIF('🗂 Feature Tracker'!D3:D200,"Done")</f>
        <v>3</v>
      </c>
      <c r="D6" s="9"/>
      <c r="E6" s="10" t="n">
        <f aca="false">COUNTIF('🗂 Feature Tracker'!D3:D200,"In Progress")</f>
        <v>4</v>
      </c>
      <c r="F6" s="10"/>
      <c r="G6" s="11" t="n">
        <f aca="false">COUNTIF('🗂 Feature Tracker'!D3:D200,"To Do")</f>
        <v>27</v>
      </c>
      <c r="H6" s="11"/>
      <c r="I6" s="12" t="n">
        <f aca="false">COUNTIF('🗂 Feature Tracker'!D3:D200,"Blocked")</f>
        <v>0</v>
      </c>
      <c r="J6" s="12"/>
    </row>
    <row r="7" customFormat="false" ht="21.75" hidden="false" customHeight="true" outlineLevel="0" collapsed="false">
      <c r="A7" s="8"/>
      <c r="B7" s="8"/>
      <c r="C7" s="9"/>
      <c r="D7" s="9"/>
      <c r="E7" s="10"/>
      <c r="F7" s="10"/>
      <c r="G7" s="11"/>
      <c r="H7" s="11"/>
      <c r="I7" s="12"/>
      <c r="J7" s="12"/>
    </row>
    <row r="9" customFormat="false" ht="21.75" hidden="false" customHeight="true" outlineLevel="0" collapsed="false">
      <c r="A9" s="13" t="s">
        <v>7</v>
      </c>
      <c r="B9" s="13"/>
      <c r="C9" s="14" t="n">
        <f aca="false">IFERROR(COUNTIF('🗂 Feature Tracker'!D3:D200,"Done")/COUNTA('🗂 Feature Tracker'!A3:A200),0)</f>
        <v>0.0882352941176471</v>
      </c>
      <c r="D9" s="14"/>
      <c r="E9" s="14"/>
      <c r="F9" s="14"/>
      <c r="G9" s="14"/>
      <c r="H9" s="14"/>
      <c r="I9" s="15" t="s">
        <v>8</v>
      </c>
      <c r="J9" s="15"/>
    </row>
    <row r="10" customFormat="false" ht="9.75" hidden="false" customHeight="true" outlineLevel="0" collapsed="false"/>
    <row r="11" customFormat="false" ht="19.5" hidden="false" customHeight="true" outlineLevel="0" collapsed="false">
      <c r="A11" s="16" t="s">
        <v>9</v>
      </c>
      <c r="B11" s="16" t="s">
        <v>10</v>
      </c>
      <c r="C11" s="16" t="s">
        <v>11</v>
      </c>
      <c r="D11" s="16" t="s">
        <v>12</v>
      </c>
      <c r="E11" s="16" t="s">
        <v>13</v>
      </c>
      <c r="F11" s="16" t="s">
        <v>14</v>
      </c>
      <c r="G11" s="16" t="s">
        <v>8</v>
      </c>
      <c r="H11" s="17" t="s">
        <v>15</v>
      </c>
      <c r="I11" s="17"/>
      <c r="J11" s="17"/>
    </row>
    <row r="12" customFormat="false" ht="18" hidden="false" customHeight="true" outlineLevel="0" collapsed="false">
      <c r="A12" s="18" t="s">
        <v>16</v>
      </c>
      <c r="B12" s="19" t="n">
        <f aca="false">COUNTIF('🗂 Feature Tracker'!C3:C200,A12)</f>
        <v>7</v>
      </c>
      <c r="C12" s="19" t="n">
        <f aca="false">COUNTIFS('🗂 Feature Tracker'!C3:C200,A12,'🗂 Feature Tracker'!D3:D200,"Done")</f>
        <v>2</v>
      </c>
      <c r="D12" s="19" t="n">
        <f aca="false">COUNTIFS('🗂 Feature Tracker'!C3:C200,A12,'🗂 Feature Tracker'!D3:D200,"In Progress")</f>
        <v>2</v>
      </c>
      <c r="E12" s="19" t="n">
        <f aca="false">COUNTIFS('🗂 Feature Tracker'!C3:C200,A12,'🗂 Feature Tracker'!D3:D200,"To Do")</f>
        <v>3</v>
      </c>
      <c r="F12" s="19" t="n">
        <f aca="false">COUNTIFS('🗂 Feature Tracker'!C3:C200,A12,'🗂 Feature Tracker'!D3:D200,"Blocked")</f>
        <v>0</v>
      </c>
      <c r="G12" s="20" t="n">
        <f aca="false">IFERROR(C12/B12,0)</f>
        <v>0.285714285714286</v>
      </c>
      <c r="H12" s="21"/>
      <c r="I12" s="21"/>
      <c r="J12" s="21"/>
    </row>
    <row r="13" customFormat="false" ht="18" hidden="false" customHeight="true" outlineLevel="0" collapsed="false">
      <c r="A13" s="22" t="s">
        <v>17</v>
      </c>
      <c r="B13" s="23" t="n">
        <f aca="false">COUNTIF('🗂 Feature Tracker'!C3:C200,A13)</f>
        <v>6</v>
      </c>
      <c r="C13" s="23" t="n">
        <f aca="false">COUNTIFS('🗂 Feature Tracker'!C3:C200,A13,'🗂 Feature Tracker'!D3:D200,"Done")</f>
        <v>1</v>
      </c>
      <c r="D13" s="23" t="n">
        <f aca="false">COUNTIFS('🗂 Feature Tracker'!C3:C200,A13,'🗂 Feature Tracker'!D3:D200,"In Progress")</f>
        <v>2</v>
      </c>
      <c r="E13" s="23" t="n">
        <f aca="false">COUNTIFS('🗂 Feature Tracker'!C3:C200,A13,'🗂 Feature Tracker'!D3:D200,"To Do")</f>
        <v>3</v>
      </c>
      <c r="F13" s="23" t="n">
        <f aca="false">COUNTIFS('🗂 Feature Tracker'!C3:C200,A13,'🗂 Feature Tracker'!D3:D200,"Blocked")</f>
        <v>0</v>
      </c>
      <c r="G13" s="24" t="n">
        <f aca="false">IFERROR(C13/B13,0)</f>
        <v>0.166666666666667</v>
      </c>
      <c r="H13" s="25"/>
      <c r="I13" s="25"/>
      <c r="J13" s="25"/>
    </row>
    <row r="14" customFormat="false" ht="18" hidden="false" customHeight="true" outlineLevel="0" collapsed="false">
      <c r="A14" s="18" t="s">
        <v>18</v>
      </c>
      <c r="B14" s="19" t="n">
        <f aca="false">COUNTIF('🗂 Feature Tracker'!C3:C200,A14)</f>
        <v>4</v>
      </c>
      <c r="C14" s="19" t="n">
        <f aca="false">COUNTIFS('🗂 Feature Tracker'!C3:C200,A14,'🗂 Feature Tracker'!D3:D200,"Done")</f>
        <v>0</v>
      </c>
      <c r="D14" s="19" t="n">
        <f aca="false">COUNTIFS('🗂 Feature Tracker'!C3:C200,A14,'🗂 Feature Tracker'!D3:D200,"In Progress")</f>
        <v>0</v>
      </c>
      <c r="E14" s="19" t="n">
        <f aca="false">COUNTIFS('🗂 Feature Tracker'!C3:C200,A14,'🗂 Feature Tracker'!D3:D200,"To Do")</f>
        <v>4</v>
      </c>
      <c r="F14" s="19" t="n">
        <f aca="false">COUNTIFS('🗂 Feature Tracker'!C3:C200,A14,'🗂 Feature Tracker'!D3:D200,"Blocked")</f>
        <v>0</v>
      </c>
      <c r="G14" s="20" t="n">
        <f aca="false">IFERROR(C14/B14,0)</f>
        <v>0</v>
      </c>
      <c r="H14" s="21"/>
      <c r="I14" s="21"/>
      <c r="J14" s="21"/>
    </row>
    <row r="15" customFormat="false" ht="18" hidden="false" customHeight="true" outlineLevel="0" collapsed="false">
      <c r="A15" s="22" t="s">
        <v>19</v>
      </c>
      <c r="B15" s="23" t="n">
        <f aca="false">COUNTIF('🗂 Feature Tracker'!C3:C200,A15)</f>
        <v>5</v>
      </c>
      <c r="C15" s="23" t="n">
        <f aca="false">COUNTIFS('🗂 Feature Tracker'!C3:C200,A15,'🗂 Feature Tracker'!D3:D200,"Done")</f>
        <v>0</v>
      </c>
      <c r="D15" s="23" t="n">
        <f aca="false">COUNTIFS('🗂 Feature Tracker'!C3:C200,A15,'🗂 Feature Tracker'!D3:D200,"In Progress")</f>
        <v>0</v>
      </c>
      <c r="E15" s="23" t="n">
        <f aca="false">COUNTIFS('🗂 Feature Tracker'!C3:C200,A15,'🗂 Feature Tracker'!D3:D200,"To Do")</f>
        <v>5</v>
      </c>
      <c r="F15" s="23" t="n">
        <f aca="false">COUNTIFS('🗂 Feature Tracker'!C3:C200,A15,'🗂 Feature Tracker'!D3:D200,"Blocked")</f>
        <v>0</v>
      </c>
      <c r="G15" s="24" t="n">
        <f aca="false">IFERROR(C15/B15,0)</f>
        <v>0</v>
      </c>
      <c r="H15" s="25"/>
      <c r="I15" s="25"/>
      <c r="J15" s="25"/>
    </row>
    <row r="16" customFormat="false" ht="18" hidden="false" customHeight="true" outlineLevel="0" collapsed="false">
      <c r="A16" s="18" t="s">
        <v>20</v>
      </c>
      <c r="B16" s="19" t="n">
        <f aca="false">COUNTIF('🗂 Feature Tracker'!C3:C200,A16)</f>
        <v>4</v>
      </c>
      <c r="C16" s="19" t="n">
        <f aca="false">COUNTIFS('🗂 Feature Tracker'!C3:C200,A16,'🗂 Feature Tracker'!D3:D200,"Done")</f>
        <v>0</v>
      </c>
      <c r="D16" s="19" t="n">
        <f aca="false">COUNTIFS('🗂 Feature Tracker'!C3:C200,A16,'🗂 Feature Tracker'!D3:D200,"In Progress")</f>
        <v>0</v>
      </c>
      <c r="E16" s="19" t="n">
        <f aca="false">COUNTIFS('🗂 Feature Tracker'!C3:C200,A16,'🗂 Feature Tracker'!D3:D200,"To Do")</f>
        <v>4</v>
      </c>
      <c r="F16" s="19" t="n">
        <f aca="false">COUNTIFS('🗂 Feature Tracker'!C3:C200,A16,'🗂 Feature Tracker'!D3:D200,"Blocked")</f>
        <v>0</v>
      </c>
      <c r="G16" s="20" t="n">
        <f aca="false">IFERROR(C16/B16,0)</f>
        <v>0</v>
      </c>
      <c r="H16" s="21"/>
      <c r="I16" s="21"/>
      <c r="J16" s="21"/>
    </row>
    <row r="17" customFormat="false" ht="18" hidden="false" customHeight="true" outlineLevel="0" collapsed="false">
      <c r="A17" s="22" t="s">
        <v>21</v>
      </c>
      <c r="B17" s="23" t="n">
        <f aca="false">COUNTIF('🗂 Feature Tracker'!C3:C200,A17)</f>
        <v>3</v>
      </c>
      <c r="C17" s="23" t="n">
        <f aca="false">COUNTIFS('🗂 Feature Tracker'!C3:C200,A17,'🗂 Feature Tracker'!D3:D200,"Done")</f>
        <v>0</v>
      </c>
      <c r="D17" s="23" t="n">
        <f aca="false">COUNTIFS('🗂 Feature Tracker'!C3:C200,A17,'🗂 Feature Tracker'!D3:D200,"In Progress")</f>
        <v>0</v>
      </c>
      <c r="E17" s="23" t="n">
        <f aca="false">COUNTIFS('🗂 Feature Tracker'!C3:C200,A17,'🗂 Feature Tracker'!D3:D200,"To Do")</f>
        <v>3</v>
      </c>
      <c r="F17" s="23" t="n">
        <f aca="false">COUNTIFS('🗂 Feature Tracker'!C3:C200,A17,'🗂 Feature Tracker'!D3:D200,"Blocked")</f>
        <v>0</v>
      </c>
      <c r="G17" s="24" t="n">
        <f aca="false">IFERROR(C17/B17,0)</f>
        <v>0</v>
      </c>
      <c r="H17" s="25"/>
      <c r="I17" s="25"/>
      <c r="J17" s="25"/>
    </row>
    <row r="18" customFormat="false" ht="18" hidden="false" customHeight="true" outlineLevel="0" collapsed="false">
      <c r="A18" s="18" t="s">
        <v>22</v>
      </c>
      <c r="B18" s="19" t="n">
        <f aca="false">COUNTIF('🗂 Feature Tracker'!C3:C200,A18)</f>
        <v>3</v>
      </c>
      <c r="C18" s="19" t="n">
        <f aca="false">COUNTIFS('🗂 Feature Tracker'!C3:C200,A18,'🗂 Feature Tracker'!D3:D200,"Done")</f>
        <v>0</v>
      </c>
      <c r="D18" s="19" t="n">
        <f aca="false">COUNTIFS('🗂 Feature Tracker'!C3:C200,A18,'🗂 Feature Tracker'!D3:D200,"In Progress")</f>
        <v>0</v>
      </c>
      <c r="E18" s="19" t="n">
        <f aca="false">COUNTIFS('🗂 Feature Tracker'!C3:C200,A18,'🗂 Feature Tracker'!D3:D200,"To Do")</f>
        <v>3</v>
      </c>
      <c r="F18" s="19" t="n">
        <f aca="false">COUNTIFS('🗂 Feature Tracker'!C3:C200,A18,'🗂 Feature Tracker'!D3:D200,"Blocked")</f>
        <v>0</v>
      </c>
      <c r="G18" s="20" t="n">
        <f aca="false">IFERROR(C18/B18,0)</f>
        <v>0</v>
      </c>
      <c r="H18" s="21"/>
      <c r="I18" s="21"/>
      <c r="J18" s="21"/>
    </row>
    <row r="19" customFormat="false" ht="18" hidden="false" customHeight="true" outlineLevel="0" collapsed="false">
      <c r="A19" s="22" t="s">
        <v>23</v>
      </c>
      <c r="B19" s="23" t="n">
        <f aca="false">COUNTIF('🗂 Feature Tracker'!C3:C200,A19)</f>
        <v>2</v>
      </c>
      <c r="C19" s="23" t="n">
        <f aca="false">COUNTIFS('🗂 Feature Tracker'!C3:C200,A19,'🗂 Feature Tracker'!D3:D200,"Done")</f>
        <v>0</v>
      </c>
      <c r="D19" s="23" t="n">
        <f aca="false">COUNTIFS('🗂 Feature Tracker'!C3:C200,A19,'🗂 Feature Tracker'!D3:D200,"In Progress")</f>
        <v>0</v>
      </c>
      <c r="E19" s="23" t="n">
        <f aca="false">COUNTIFS('🗂 Feature Tracker'!C3:C200,A19,'🗂 Feature Tracker'!D3:D200,"To Do")</f>
        <v>2</v>
      </c>
      <c r="F19" s="23" t="n">
        <f aca="false">COUNTIFS('🗂 Feature Tracker'!C3:C200,A19,'🗂 Feature Tracker'!D3:D200,"Blocked")</f>
        <v>0</v>
      </c>
      <c r="G19" s="24" t="n">
        <f aca="false">IFERROR(C19/B19,0)</f>
        <v>0</v>
      </c>
      <c r="H19" s="25"/>
      <c r="I19" s="25"/>
      <c r="J19" s="25"/>
    </row>
  </sheetData>
  <mergeCells count="24">
    <mergeCell ref="A1:J1"/>
    <mergeCell ref="A2:J2"/>
    <mergeCell ref="A4:B5"/>
    <mergeCell ref="C4:D5"/>
    <mergeCell ref="E4:F5"/>
    <mergeCell ref="G4:H5"/>
    <mergeCell ref="I4:J5"/>
    <mergeCell ref="A6:B7"/>
    <mergeCell ref="C6:D7"/>
    <mergeCell ref="E6:F7"/>
    <mergeCell ref="G6:H7"/>
    <mergeCell ref="I6:J7"/>
    <mergeCell ref="A9:B9"/>
    <mergeCell ref="C9:H9"/>
    <mergeCell ref="I9:J9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26" t="s">
        <v>24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21.75" hidden="false" customHeight="true" outlineLevel="0" collapsed="false">
      <c r="A2" s="27" t="s">
        <v>25</v>
      </c>
      <c r="B2" s="27" t="s">
        <v>26</v>
      </c>
      <c r="C2" s="27" t="s">
        <v>27</v>
      </c>
      <c r="D2" s="27" t="s">
        <v>28</v>
      </c>
      <c r="E2" s="27" t="s">
        <v>29</v>
      </c>
      <c r="F2" s="27" t="s">
        <v>30</v>
      </c>
      <c r="G2" s="27" t="s">
        <v>31</v>
      </c>
      <c r="H2" s="27" t="s">
        <v>32</v>
      </c>
      <c r="I2" s="27" t="s">
        <v>33</v>
      </c>
      <c r="J2" s="27" t="s">
        <v>15</v>
      </c>
      <c r="K2" s="27" t="s">
        <v>34</v>
      </c>
      <c r="L2" s="27" t="s">
        <v>35</v>
      </c>
    </row>
    <row r="3" customFormat="false" ht="18" hidden="false" customHeight="true" outlineLevel="0" collapsed="false">
      <c r="A3" s="28" t="n">
        <v>1</v>
      </c>
      <c r="B3" s="29" t="s">
        <v>36</v>
      </c>
      <c r="C3" s="30" t="s">
        <v>16</v>
      </c>
      <c r="D3" s="31" t="s">
        <v>11</v>
      </c>
      <c r="E3" s="32" t="s">
        <v>37</v>
      </c>
      <c r="F3" s="33"/>
      <c r="G3" s="33"/>
      <c r="H3" s="33"/>
      <c r="I3" s="19" t="n">
        <v>4</v>
      </c>
      <c r="J3" s="29"/>
      <c r="K3" s="29" t="s">
        <v>38</v>
      </c>
      <c r="L3" s="33"/>
    </row>
    <row r="4" customFormat="false" ht="18" hidden="false" customHeight="true" outlineLevel="0" collapsed="false">
      <c r="A4" s="34" t="n">
        <v>2</v>
      </c>
      <c r="B4" s="35" t="s">
        <v>39</v>
      </c>
      <c r="C4" s="36" t="s">
        <v>16</v>
      </c>
      <c r="D4" s="31" t="s">
        <v>11</v>
      </c>
      <c r="E4" s="32" t="s">
        <v>37</v>
      </c>
      <c r="F4" s="37"/>
      <c r="G4" s="37"/>
      <c r="H4" s="37"/>
      <c r="I4" s="23" t="n">
        <v>2</v>
      </c>
      <c r="J4" s="35"/>
      <c r="K4" s="35" t="s">
        <v>38</v>
      </c>
      <c r="L4" s="37"/>
    </row>
    <row r="5" customFormat="false" ht="18" hidden="false" customHeight="true" outlineLevel="0" collapsed="false">
      <c r="A5" s="28" t="n">
        <v>3</v>
      </c>
      <c r="B5" s="29" t="s">
        <v>40</v>
      </c>
      <c r="C5" s="30" t="s">
        <v>16</v>
      </c>
      <c r="D5" s="38" t="s">
        <v>12</v>
      </c>
      <c r="E5" s="39" t="s">
        <v>41</v>
      </c>
      <c r="F5" s="33"/>
      <c r="G5" s="33"/>
      <c r="H5" s="33"/>
      <c r="I5" s="19" t="n">
        <v>6</v>
      </c>
      <c r="J5" s="29"/>
      <c r="K5" s="29" t="s">
        <v>38</v>
      </c>
      <c r="L5" s="33"/>
    </row>
    <row r="6" customFormat="false" ht="18" hidden="false" customHeight="true" outlineLevel="0" collapsed="false">
      <c r="A6" s="34" t="n">
        <v>4</v>
      </c>
      <c r="B6" s="35" t="s">
        <v>42</v>
      </c>
      <c r="C6" s="36" t="s">
        <v>16</v>
      </c>
      <c r="D6" s="38" t="s">
        <v>12</v>
      </c>
      <c r="E6" s="32" t="s">
        <v>37</v>
      </c>
      <c r="F6" s="37"/>
      <c r="G6" s="37"/>
      <c r="H6" s="37"/>
      <c r="I6" s="23" t="n">
        <v>8</v>
      </c>
      <c r="J6" s="35"/>
      <c r="K6" s="35" t="s">
        <v>38</v>
      </c>
      <c r="L6" s="37"/>
    </row>
    <row r="7" customFormat="false" ht="18" hidden="false" customHeight="true" outlineLevel="0" collapsed="false">
      <c r="A7" s="28" t="n">
        <v>5</v>
      </c>
      <c r="B7" s="29" t="s">
        <v>43</v>
      </c>
      <c r="C7" s="30" t="s">
        <v>16</v>
      </c>
      <c r="D7" s="40" t="s">
        <v>13</v>
      </c>
      <c r="E7" s="32" t="s">
        <v>37</v>
      </c>
      <c r="F7" s="33"/>
      <c r="G7" s="33"/>
      <c r="H7" s="33"/>
      <c r="I7" s="19" t="n">
        <v>10</v>
      </c>
      <c r="J7" s="29"/>
      <c r="K7" s="29" t="s">
        <v>38</v>
      </c>
      <c r="L7" s="33"/>
    </row>
    <row r="8" customFormat="false" ht="18" hidden="false" customHeight="true" outlineLevel="0" collapsed="false">
      <c r="A8" s="34" t="n">
        <v>6</v>
      </c>
      <c r="B8" s="35" t="s">
        <v>44</v>
      </c>
      <c r="C8" s="36" t="s">
        <v>16</v>
      </c>
      <c r="D8" s="40" t="s">
        <v>13</v>
      </c>
      <c r="E8" s="39" t="s">
        <v>41</v>
      </c>
      <c r="F8" s="37"/>
      <c r="G8" s="37"/>
      <c r="H8" s="37"/>
      <c r="I8" s="23" t="n">
        <v>4</v>
      </c>
      <c r="J8" s="35"/>
      <c r="K8" s="35" t="s">
        <v>38</v>
      </c>
      <c r="L8" s="37"/>
    </row>
    <row r="9" customFormat="false" ht="18" hidden="false" customHeight="true" outlineLevel="0" collapsed="false">
      <c r="A9" s="28" t="n">
        <v>7</v>
      </c>
      <c r="B9" s="29" t="s">
        <v>45</v>
      </c>
      <c r="C9" s="30" t="s">
        <v>16</v>
      </c>
      <c r="D9" s="40" t="s">
        <v>13</v>
      </c>
      <c r="E9" s="39" t="s">
        <v>41</v>
      </c>
      <c r="F9" s="33"/>
      <c r="G9" s="33"/>
      <c r="H9" s="33"/>
      <c r="I9" s="19" t="n">
        <v>6</v>
      </c>
      <c r="J9" s="29"/>
      <c r="K9" s="29" t="s">
        <v>38</v>
      </c>
      <c r="L9" s="33"/>
    </row>
    <row r="10" customFormat="false" ht="18" hidden="false" customHeight="true" outlineLevel="0" collapsed="false">
      <c r="A10" s="34" t="n">
        <v>8</v>
      </c>
      <c r="B10" s="35" t="s">
        <v>46</v>
      </c>
      <c r="C10" s="36" t="s">
        <v>17</v>
      </c>
      <c r="D10" s="38" t="s">
        <v>12</v>
      </c>
      <c r="E10" s="32" t="s">
        <v>37</v>
      </c>
      <c r="F10" s="37"/>
      <c r="G10" s="37"/>
      <c r="H10" s="37"/>
      <c r="I10" s="23" t="n">
        <v>10</v>
      </c>
      <c r="J10" s="35"/>
      <c r="K10" s="35" t="s">
        <v>38</v>
      </c>
      <c r="L10" s="37"/>
    </row>
    <row r="11" customFormat="false" ht="18" hidden="false" customHeight="true" outlineLevel="0" collapsed="false">
      <c r="A11" s="28" t="n">
        <v>9</v>
      </c>
      <c r="B11" s="29" t="s">
        <v>47</v>
      </c>
      <c r="C11" s="30" t="s">
        <v>17</v>
      </c>
      <c r="D11" s="40" t="s">
        <v>13</v>
      </c>
      <c r="E11" s="32" t="s">
        <v>37</v>
      </c>
      <c r="F11" s="33"/>
      <c r="G11" s="33"/>
      <c r="H11" s="33"/>
      <c r="I11" s="19" t="n">
        <v>6</v>
      </c>
      <c r="J11" s="29"/>
      <c r="K11" s="29" t="s">
        <v>38</v>
      </c>
      <c r="L11" s="33"/>
    </row>
    <row r="12" customFormat="false" ht="18" hidden="false" customHeight="true" outlineLevel="0" collapsed="false">
      <c r="A12" s="34" t="n">
        <v>10</v>
      </c>
      <c r="B12" s="35" t="s">
        <v>48</v>
      </c>
      <c r="C12" s="36" t="s">
        <v>17</v>
      </c>
      <c r="D12" s="31" t="s">
        <v>11</v>
      </c>
      <c r="E12" s="32" t="s">
        <v>37</v>
      </c>
      <c r="F12" s="37"/>
      <c r="G12" s="37"/>
      <c r="H12" s="37"/>
      <c r="I12" s="23" t="n">
        <v>3</v>
      </c>
      <c r="J12" s="35"/>
      <c r="K12" s="35" t="s">
        <v>38</v>
      </c>
      <c r="L12" s="37"/>
    </row>
    <row r="13" customFormat="false" ht="18" hidden="false" customHeight="true" outlineLevel="0" collapsed="false">
      <c r="A13" s="28" t="n">
        <v>11</v>
      </c>
      <c r="B13" s="29" t="s">
        <v>49</v>
      </c>
      <c r="C13" s="30" t="s">
        <v>17</v>
      </c>
      <c r="D13" s="38" t="s">
        <v>12</v>
      </c>
      <c r="E13" s="32" t="s">
        <v>37</v>
      </c>
      <c r="F13" s="33"/>
      <c r="G13" s="33"/>
      <c r="H13" s="33"/>
      <c r="I13" s="19" t="n">
        <v>5</v>
      </c>
      <c r="J13" s="29"/>
      <c r="K13" s="29" t="s">
        <v>38</v>
      </c>
      <c r="L13" s="33"/>
    </row>
    <row r="14" customFormat="false" ht="18" hidden="false" customHeight="true" outlineLevel="0" collapsed="false">
      <c r="A14" s="34" t="n">
        <v>12</v>
      </c>
      <c r="B14" s="35" t="s">
        <v>50</v>
      </c>
      <c r="C14" s="36" t="s">
        <v>17</v>
      </c>
      <c r="D14" s="40" t="s">
        <v>13</v>
      </c>
      <c r="E14" s="32" t="s">
        <v>37</v>
      </c>
      <c r="F14" s="37"/>
      <c r="G14" s="37"/>
      <c r="H14" s="37"/>
      <c r="I14" s="23" t="n">
        <v>12</v>
      </c>
      <c r="J14" s="35"/>
      <c r="K14" s="35" t="s">
        <v>38</v>
      </c>
      <c r="L14" s="37"/>
    </row>
    <row r="15" customFormat="false" ht="18" hidden="false" customHeight="true" outlineLevel="0" collapsed="false">
      <c r="A15" s="28" t="n">
        <v>13</v>
      </c>
      <c r="B15" s="29" t="s">
        <v>51</v>
      </c>
      <c r="C15" s="30" t="s">
        <v>17</v>
      </c>
      <c r="D15" s="40" t="s">
        <v>13</v>
      </c>
      <c r="E15" s="39" t="s">
        <v>41</v>
      </c>
      <c r="F15" s="33"/>
      <c r="G15" s="33"/>
      <c r="H15" s="33"/>
      <c r="I15" s="19" t="n">
        <v>8</v>
      </c>
      <c r="J15" s="29"/>
      <c r="K15" s="29" t="s">
        <v>38</v>
      </c>
      <c r="L15" s="33"/>
    </row>
    <row r="16" customFormat="false" ht="18" hidden="false" customHeight="true" outlineLevel="0" collapsed="false">
      <c r="A16" s="34" t="n">
        <v>14</v>
      </c>
      <c r="B16" s="35" t="s">
        <v>52</v>
      </c>
      <c r="C16" s="36" t="s">
        <v>18</v>
      </c>
      <c r="D16" s="40" t="s">
        <v>13</v>
      </c>
      <c r="E16" s="32" t="s">
        <v>37</v>
      </c>
      <c r="F16" s="37"/>
      <c r="G16" s="37"/>
      <c r="H16" s="37"/>
      <c r="I16" s="23" t="n">
        <v>6</v>
      </c>
      <c r="J16" s="35"/>
      <c r="K16" s="35" t="s">
        <v>38</v>
      </c>
      <c r="L16" s="37"/>
    </row>
    <row r="17" customFormat="false" ht="18" hidden="false" customHeight="true" outlineLevel="0" collapsed="false">
      <c r="A17" s="28" t="n">
        <v>15</v>
      </c>
      <c r="B17" s="29" t="s">
        <v>53</v>
      </c>
      <c r="C17" s="30" t="s">
        <v>18</v>
      </c>
      <c r="D17" s="40" t="s">
        <v>13</v>
      </c>
      <c r="E17" s="32" t="s">
        <v>37</v>
      </c>
      <c r="F17" s="33"/>
      <c r="G17" s="33"/>
      <c r="H17" s="33"/>
      <c r="I17" s="19" t="n">
        <v>8</v>
      </c>
      <c r="J17" s="29"/>
      <c r="K17" s="29" t="s">
        <v>38</v>
      </c>
      <c r="L17" s="33"/>
    </row>
    <row r="18" customFormat="false" ht="18" hidden="false" customHeight="true" outlineLevel="0" collapsed="false">
      <c r="A18" s="34" t="n">
        <v>16</v>
      </c>
      <c r="B18" s="35" t="s">
        <v>54</v>
      </c>
      <c r="C18" s="36" t="s">
        <v>18</v>
      </c>
      <c r="D18" s="40" t="s">
        <v>13</v>
      </c>
      <c r="E18" s="39" t="s">
        <v>41</v>
      </c>
      <c r="F18" s="37"/>
      <c r="G18" s="37"/>
      <c r="H18" s="37"/>
      <c r="I18" s="23" t="n">
        <v>8</v>
      </c>
      <c r="J18" s="35"/>
      <c r="K18" s="35" t="s">
        <v>38</v>
      </c>
      <c r="L18" s="37"/>
    </row>
    <row r="19" customFormat="false" ht="18" hidden="false" customHeight="true" outlineLevel="0" collapsed="false">
      <c r="A19" s="28" t="n">
        <v>17</v>
      </c>
      <c r="B19" s="29" t="s">
        <v>55</v>
      </c>
      <c r="C19" s="30" t="s">
        <v>18</v>
      </c>
      <c r="D19" s="40" t="s">
        <v>13</v>
      </c>
      <c r="E19" s="39" t="s">
        <v>41</v>
      </c>
      <c r="F19" s="33"/>
      <c r="G19" s="33"/>
      <c r="H19" s="33"/>
      <c r="I19" s="19" t="n">
        <v>4</v>
      </c>
      <c r="J19" s="29"/>
      <c r="K19" s="29" t="s">
        <v>38</v>
      </c>
      <c r="L19" s="33"/>
    </row>
    <row r="20" customFormat="false" ht="18" hidden="false" customHeight="true" outlineLevel="0" collapsed="false">
      <c r="A20" s="34" t="n">
        <v>18</v>
      </c>
      <c r="B20" s="35" t="s">
        <v>56</v>
      </c>
      <c r="C20" s="36" t="s">
        <v>19</v>
      </c>
      <c r="D20" s="40" t="s">
        <v>13</v>
      </c>
      <c r="E20" s="32" t="s">
        <v>37</v>
      </c>
      <c r="F20" s="37"/>
      <c r="G20" s="37"/>
      <c r="H20" s="37"/>
      <c r="I20" s="23" t="n">
        <v>4</v>
      </c>
      <c r="J20" s="35"/>
      <c r="K20" s="35" t="s">
        <v>38</v>
      </c>
      <c r="L20" s="37"/>
    </row>
    <row r="21" customFormat="false" ht="18" hidden="false" customHeight="true" outlineLevel="0" collapsed="false">
      <c r="A21" s="28" t="n">
        <v>19</v>
      </c>
      <c r="B21" s="29" t="s">
        <v>57</v>
      </c>
      <c r="C21" s="30" t="s">
        <v>19</v>
      </c>
      <c r="D21" s="40" t="s">
        <v>13</v>
      </c>
      <c r="E21" s="32" t="s">
        <v>37</v>
      </c>
      <c r="F21" s="33"/>
      <c r="G21" s="33"/>
      <c r="H21" s="33"/>
      <c r="I21" s="19" t="n">
        <v>4</v>
      </c>
      <c r="J21" s="29"/>
      <c r="K21" s="29" t="s">
        <v>38</v>
      </c>
      <c r="L21" s="33"/>
    </row>
    <row r="22" customFormat="false" ht="18" hidden="false" customHeight="true" outlineLevel="0" collapsed="false">
      <c r="A22" s="34" t="n">
        <v>20</v>
      </c>
      <c r="B22" s="35" t="s">
        <v>58</v>
      </c>
      <c r="C22" s="36" t="s">
        <v>19</v>
      </c>
      <c r="D22" s="40" t="s">
        <v>13</v>
      </c>
      <c r="E22" s="32" t="s">
        <v>37</v>
      </c>
      <c r="F22" s="37"/>
      <c r="G22" s="37"/>
      <c r="H22" s="37"/>
      <c r="I22" s="23" t="n">
        <v>5</v>
      </c>
      <c r="J22" s="35"/>
      <c r="K22" s="35" t="s">
        <v>38</v>
      </c>
      <c r="L22" s="37"/>
    </row>
    <row r="23" customFormat="false" ht="18" hidden="false" customHeight="true" outlineLevel="0" collapsed="false">
      <c r="A23" s="28" t="n">
        <v>21</v>
      </c>
      <c r="B23" s="29" t="s">
        <v>59</v>
      </c>
      <c r="C23" s="30" t="s">
        <v>19</v>
      </c>
      <c r="D23" s="40" t="s">
        <v>13</v>
      </c>
      <c r="E23" s="32" t="s">
        <v>37</v>
      </c>
      <c r="F23" s="33"/>
      <c r="G23" s="33"/>
      <c r="H23" s="33"/>
      <c r="I23" s="19" t="n">
        <v>8</v>
      </c>
      <c r="J23" s="29"/>
      <c r="K23" s="29" t="s">
        <v>38</v>
      </c>
      <c r="L23" s="33"/>
    </row>
    <row r="24" customFormat="false" ht="18" hidden="false" customHeight="true" outlineLevel="0" collapsed="false">
      <c r="A24" s="34" t="n">
        <v>22</v>
      </c>
      <c r="B24" s="35" t="s">
        <v>60</v>
      </c>
      <c r="C24" s="36" t="s">
        <v>19</v>
      </c>
      <c r="D24" s="40" t="s">
        <v>13</v>
      </c>
      <c r="E24" s="41" t="s">
        <v>61</v>
      </c>
      <c r="F24" s="37"/>
      <c r="G24" s="37"/>
      <c r="H24" s="37"/>
      <c r="I24" s="23" t="n">
        <v>5</v>
      </c>
      <c r="J24" s="35"/>
      <c r="K24" s="35" t="s">
        <v>38</v>
      </c>
      <c r="L24" s="37"/>
    </row>
    <row r="25" customFormat="false" ht="18" hidden="false" customHeight="true" outlineLevel="0" collapsed="false">
      <c r="A25" s="28" t="n">
        <v>23</v>
      </c>
      <c r="B25" s="29" t="s">
        <v>62</v>
      </c>
      <c r="C25" s="30" t="s">
        <v>20</v>
      </c>
      <c r="D25" s="40" t="s">
        <v>13</v>
      </c>
      <c r="E25" s="39" t="s">
        <v>41</v>
      </c>
      <c r="F25" s="33"/>
      <c r="G25" s="33"/>
      <c r="H25" s="33"/>
      <c r="I25" s="19" t="n">
        <v>4</v>
      </c>
      <c r="J25" s="29"/>
      <c r="K25" s="29" t="s">
        <v>38</v>
      </c>
      <c r="L25" s="33"/>
    </row>
    <row r="26" customFormat="false" ht="18" hidden="false" customHeight="true" outlineLevel="0" collapsed="false">
      <c r="A26" s="34" t="n">
        <v>24</v>
      </c>
      <c r="B26" s="35" t="s">
        <v>63</v>
      </c>
      <c r="C26" s="36" t="s">
        <v>20</v>
      </c>
      <c r="D26" s="40" t="s">
        <v>13</v>
      </c>
      <c r="E26" s="39" t="s">
        <v>41</v>
      </c>
      <c r="F26" s="37"/>
      <c r="G26" s="37"/>
      <c r="H26" s="37"/>
      <c r="I26" s="23" t="n">
        <v>3</v>
      </c>
      <c r="J26" s="35"/>
      <c r="K26" s="35" t="s">
        <v>38</v>
      </c>
      <c r="L26" s="37"/>
    </row>
    <row r="27" customFormat="false" ht="18" hidden="false" customHeight="true" outlineLevel="0" collapsed="false">
      <c r="A27" s="28" t="n">
        <v>25</v>
      </c>
      <c r="B27" s="29" t="s">
        <v>64</v>
      </c>
      <c r="C27" s="30" t="s">
        <v>20</v>
      </c>
      <c r="D27" s="40" t="s">
        <v>13</v>
      </c>
      <c r="E27" s="41" t="s">
        <v>61</v>
      </c>
      <c r="F27" s="33"/>
      <c r="G27" s="33"/>
      <c r="H27" s="33"/>
      <c r="I27" s="19" t="n">
        <v>5</v>
      </c>
      <c r="J27" s="29"/>
      <c r="K27" s="29" t="s">
        <v>38</v>
      </c>
      <c r="L27" s="33"/>
    </row>
    <row r="28" customFormat="false" ht="18" hidden="false" customHeight="true" outlineLevel="0" collapsed="false">
      <c r="A28" s="34" t="n">
        <v>26</v>
      </c>
      <c r="B28" s="35" t="s">
        <v>65</v>
      </c>
      <c r="C28" s="36" t="s">
        <v>20</v>
      </c>
      <c r="D28" s="40" t="s">
        <v>13</v>
      </c>
      <c r="E28" s="41" t="s">
        <v>61</v>
      </c>
      <c r="F28" s="37"/>
      <c r="G28" s="37"/>
      <c r="H28" s="37"/>
      <c r="I28" s="23" t="n">
        <v>4</v>
      </c>
      <c r="J28" s="35"/>
      <c r="K28" s="35" t="s">
        <v>38</v>
      </c>
      <c r="L28" s="37"/>
    </row>
    <row r="29" customFormat="false" ht="18" hidden="false" customHeight="true" outlineLevel="0" collapsed="false">
      <c r="A29" s="28" t="n">
        <v>27</v>
      </c>
      <c r="B29" s="29" t="s">
        <v>66</v>
      </c>
      <c r="C29" s="30" t="s">
        <v>21</v>
      </c>
      <c r="D29" s="40" t="s">
        <v>13</v>
      </c>
      <c r="E29" s="32" t="s">
        <v>37</v>
      </c>
      <c r="F29" s="33"/>
      <c r="G29" s="33"/>
      <c r="H29" s="33"/>
      <c r="I29" s="19" t="n">
        <v>2</v>
      </c>
      <c r="J29" s="29"/>
      <c r="K29" s="29" t="s">
        <v>38</v>
      </c>
      <c r="L29" s="33"/>
    </row>
    <row r="30" customFormat="false" ht="18" hidden="false" customHeight="true" outlineLevel="0" collapsed="false">
      <c r="A30" s="34" t="n">
        <v>28</v>
      </c>
      <c r="B30" s="35" t="s">
        <v>67</v>
      </c>
      <c r="C30" s="36" t="s">
        <v>21</v>
      </c>
      <c r="D30" s="40" t="s">
        <v>13</v>
      </c>
      <c r="E30" s="39" t="s">
        <v>41</v>
      </c>
      <c r="F30" s="37"/>
      <c r="G30" s="37"/>
      <c r="H30" s="37"/>
      <c r="I30" s="23" t="n">
        <v>3</v>
      </c>
      <c r="J30" s="35"/>
      <c r="K30" s="35" t="s">
        <v>38</v>
      </c>
      <c r="L30" s="37"/>
    </row>
    <row r="31" customFormat="false" ht="18" hidden="false" customHeight="true" outlineLevel="0" collapsed="false">
      <c r="A31" s="28" t="n">
        <v>29</v>
      </c>
      <c r="B31" s="29" t="s">
        <v>68</v>
      </c>
      <c r="C31" s="30" t="s">
        <v>21</v>
      </c>
      <c r="D31" s="40" t="s">
        <v>13</v>
      </c>
      <c r="E31" s="32" t="s">
        <v>37</v>
      </c>
      <c r="F31" s="33"/>
      <c r="G31" s="33"/>
      <c r="H31" s="33"/>
      <c r="I31" s="19" t="n">
        <v>2</v>
      </c>
      <c r="J31" s="29"/>
      <c r="K31" s="29" t="s">
        <v>38</v>
      </c>
      <c r="L31" s="33"/>
    </row>
    <row r="32" customFormat="false" ht="18" hidden="false" customHeight="true" outlineLevel="0" collapsed="false">
      <c r="A32" s="34" t="n">
        <v>30</v>
      </c>
      <c r="B32" s="35" t="s">
        <v>69</v>
      </c>
      <c r="C32" s="36" t="s">
        <v>22</v>
      </c>
      <c r="D32" s="40" t="s">
        <v>13</v>
      </c>
      <c r="E32" s="39" t="s">
        <v>41</v>
      </c>
      <c r="F32" s="37"/>
      <c r="G32" s="37"/>
      <c r="H32" s="37"/>
      <c r="I32" s="23" t="n">
        <v>6</v>
      </c>
      <c r="J32" s="35"/>
      <c r="K32" s="35" t="s">
        <v>38</v>
      </c>
      <c r="L32" s="37"/>
    </row>
    <row r="33" customFormat="false" ht="18" hidden="false" customHeight="true" outlineLevel="0" collapsed="false">
      <c r="A33" s="28" t="n">
        <v>31</v>
      </c>
      <c r="B33" s="29" t="s">
        <v>70</v>
      </c>
      <c r="C33" s="30" t="s">
        <v>22</v>
      </c>
      <c r="D33" s="40" t="s">
        <v>13</v>
      </c>
      <c r="E33" s="39" t="s">
        <v>41</v>
      </c>
      <c r="F33" s="33"/>
      <c r="G33" s="33"/>
      <c r="H33" s="33"/>
      <c r="I33" s="19" t="n">
        <v>8</v>
      </c>
      <c r="J33" s="29"/>
      <c r="K33" s="29" t="s">
        <v>38</v>
      </c>
      <c r="L33" s="33"/>
    </row>
    <row r="34" customFormat="false" ht="18" hidden="false" customHeight="true" outlineLevel="0" collapsed="false">
      <c r="A34" s="34" t="n">
        <v>32</v>
      </c>
      <c r="B34" s="35" t="s">
        <v>71</v>
      </c>
      <c r="C34" s="36" t="s">
        <v>22</v>
      </c>
      <c r="D34" s="40" t="s">
        <v>13</v>
      </c>
      <c r="E34" s="32" t="s">
        <v>37</v>
      </c>
      <c r="F34" s="37"/>
      <c r="G34" s="37"/>
      <c r="H34" s="37"/>
      <c r="I34" s="23" t="n">
        <v>5</v>
      </c>
      <c r="J34" s="35"/>
      <c r="K34" s="35" t="s">
        <v>38</v>
      </c>
      <c r="L34" s="37"/>
    </row>
    <row r="35" customFormat="false" ht="18" hidden="false" customHeight="true" outlineLevel="0" collapsed="false">
      <c r="A35" s="28" t="n">
        <v>33</v>
      </c>
      <c r="B35" s="29" t="s">
        <v>72</v>
      </c>
      <c r="C35" s="30" t="s">
        <v>23</v>
      </c>
      <c r="D35" s="40" t="s">
        <v>13</v>
      </c>
      <c r="E35" s="41" t="s">
        <v>61</v>
      </c>
      <c r="F35" s="33"/>
      <c r="G35" s="33"/>
      <c r="H35" s="33"/>
      <c r="I35" s="19" t="n">
        <v>2</v>
      </c>
      <c r="J35" s="29"/>
      <c r="K35" s="29" t="s">
        <v>38</v>
      </c>
      <c r="L35" s="33"/>
    </row>
    <row r="36" customFormat="false" ht="18" hidden="false" customHeight="true" outlineLevel="0" collapsed="false">
      <c r="A36" s="34" t="n">
        <v>34</v>
      </c>
      <c r="B36" s="35" t="s">
        <v>73</v>
      </c>
      <c r="C36" s="36" t="s">
        <v>23</v>
      </c>
      <c r="D36" s="40" t="s">
        <v>13</v>
      </c>
      <c r="E36" s="41" t="s">
        <v>61</v>
      </c>
      <c r="F36" s="37"/>
      <c r="G36" s="37"/>
      <c r="H36" s="37"/>
      <c r="I36" s="23" t="n">
        <v>3</v>
      </c>
      <c r="J36" s="35"/>
      <c r="K36" s="35" t="s">
        <v>38</v>
      </c>
      <c r="L36" s="37"/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D3:D200" type="list">
      <formula1>"To Do,In Progress,Done,Blocked,On Hold"</formula1>
      <formula2>0</formula2>
    </dataValidation>
    <dataValidation allowBlank="true" errorStyle="stop" operator="between" showDropDown="false" showErrorMessage="false" showInputMessage="false" sqref="E3:E200" type="list">
      <formula1>"High,Medium,Low"</formula1>
      <formula2>0</formula2>
    </dataValidation>
    <dataValidation allowBlank="true" errorStyle="stop" operator="between" showDropDown="false" showErrorMessage="false" showInputMessage="false" sqref="C3:C200" type="list">
      <formula1>"Frontend &amp; UI,AI &amp; NLP (LLM),Maps &amp; Places API,Database &amp; Auth,Weather &amp; Reviews API,Hosting &amp; DevOps,Testing &amp; QA,Documentation"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5" min="4" style="0" width="3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25"/>
  </cols>
  <sheetData>
    <row r="1" customFormat="false" ht="36" hidden="false" customHeight="true" outlineLevel="0" collapsed="false">
      <c r="A1" s="26" t="s">
        <v>74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27" t="s">
        <v>75</v>
      </c>
      <c r="B2" s="27" t="s">
        <v>76</v>
      </c>
      <c r="C2" s="27" t="s">
        <v>77</v>
      </c>
      <c r="D2" s="27" t="s">
        <v>78</v>
      </c>
      <c r="E2" s="27" t="s">
        <v>79</v>
      </c>
      <c r="F2" s="27" t="s">
        <v>80</v>
      </c>
      <c r="G2" s="27" t="s">
        <v>81</v>
      </c>
      <c r="H2" s="27" t="s">
        <v>15</v>
      </c>
    </row>
    <row r="3" customFormat="false" ht="49.5" hidden="false" customHeight="true" outlineLevel="0" collapsed="false">
      <c r="A3" s="34" t="n">
        <v>1</v>
      </c>
      <c r="B3" s="23"/>
      <c r="C3" s="23"/>
      <c r="D3" s="35"/>
      <c r="E3" s="35"/>
      <c r="F3" s="35"/>
      <c r="G3" s="23"/>
      <c r="H3" s="35"/>
    </row>
    <row r="4" customFormat="false" ht="49.5" hidden="false" customHeight="true" outlineLevel="0" collapsed="false">
      <c r="A4" s="28" t="n">
        <v>2</v>
      </c>
      <c r="B4" s="19"/>
      <c r="C4" s="19"/>
      <c r="D4" s="29"/>
      <c r="E4" s="29"/>
      <c r="F4" s="29"/>
      <c r="G4" s="19"/>
      <c r="H4" s="29"/>
    </row>
    <row r="5" customFormat="false" ht="49.5" hidden="false" customHeight="true" outlineLevel="0" collapsed="false">
      <c r="A5" s="34" t="n">
        <v>3</v>
      </c>
      <c r="B5" s="23"/>
      <c r="C5" s="23"/>
      <c r="D5" s="35"/>
      <c r="E5" s="35"/>
      <c r="F5" s="35"/>
      <c r="G5" s="23"/>
      <c r="H5" s="35"/>
    </row>
    <row r="6" customFormat="false" ht="49.5" hidden="false" customHeight="true" outlineLevel="0" collapsed="false">
      <c r="A6" s="28" t="n">
        <v>4</v>
      </c>
      <c r="B6" s="19"/>
      <c r="C6" s="19"/>
      <c r="D6" s="29"/>
      <c r="E6" s="29"/>
      <c r="F6" s="29"/>
      <c r="G6" s="19"/>
      <c r="H6" s="29"/>
    </row>
    <row r="7" customFormat="false" ht="49.5" hidden="false" customHeight="true" outlineLevel="0" collapsed="false">
      <c r="A7" s="34" t="n">
        <v>5</v>
      </c>
      <c r="B7" s="23"/>
      <c r="C7" s="23"/>
      <c r="D7" s="35"/>
      <c r="E7" s="35"/>
      <c r="F7" s="35"/>
      <c r="G7" s="23"/>
      <c r="H7" s="35"/>
    </row>
    <row r="8" customFormat="false" ht="49.5" hidden="false" customHeight="true" outlineLevel="0" collapsed="false">
      <c r="A8" s="28" t="n">
        <v>6</v>
      </c>
      <c r="B8" s="19"/>
      <c r="C8" s="19"/>
      <c r="D8" s="29"/>
      <c r="E8" s="29"/>
      <c r="F8" s="29"/>
      <c r="G8" s="19"/>
      <c r="H8" s="29"/>
    </row>
    <row r="9" customFormat="false" ht="49.5" hidden="false" customHeight="true" outlineLevel="0" collapsed="false">
      <c r="A9" s="34" t="n">
        <v>7</v>
      </c>
      <c r="B9" s="23"/>
      <c r="C9" s="23"/>
      <c r="D9" s="35"/>
      <c r="E9" s="35"/>
      <c r="F9" s="35"/>
      <c r="G9" s="23"/>
      <c r="H9" s="35"/>
    </row>
    <row r="10" customFormat="false" ht="49.5" hidden="false" customHeight="true" outlineLevel="0" collapsed="false">
      <c r="A10" s="28" t="n">
        <v>8</v>
      </c>
      <c r="B10" s="19"/>
      <c r="C10" s="19"/>
      <c r="D10" s="29"/>
      <c r="E10" s="29"/>
      <c r="F10" s="29"/>
      <c r="G10" s="19"/>
      <c r="H10" s="29"/>
    </row>
    <row r="11" customFormat="false" ht="49.5" hidden="false" customHeight="true" outlineLevel="0" collapsed="false">
      <c r="A11" s="34" t="n">
        <v>9</v>
      </c>
      <c r="B11" s="23"/>
      <c r="C11" s="23"/>
      <c r="D11" s="35"/>
      <c r="E11" s="35"/>
      <c r="F11" s="35"/>
      <c r="G11" s="23"/>
      <c r="H11" s="35"/>
    </row>
    <row r="12" customFormat="false" ht="49.5" hidden="false" customHeight="true" outlineLevel="0" collapsed="false">
      <c r="A12" s="28" t="n">
        <v>10</v>
      </c>
      <c r="B12" s="19"/>
      <c r="C12" s="19"/>
      <c r="D12" s="29"/>
      <c r="E12" s="29"/>
      <c r="F12" s="29"/>
      <c r="G12" s="19"/>
      <c r="H12" s="29"/>
    </row>
    <row r="13" customFormat="false" ht="49.5" hidden="false" customHeight="true" outlineLevel="0" collapsed="false">
      <c r="A13" s="34" t="n">
        <v>11</v>
      </c>
      <c r="B13" s="23"/>
      <c r="C13" s="23"/>
      <c r="D13" s="35"/>
      <c r="E13" s="35"/>
      <c r="F13" s="35"/>
      <c r="G13" s="23"/>
      <c r="H13" s="35"/>
    </row>
    <row r="14" customFormat="false" ht="49.5" hidden="false" customHeight="true" outlineLevel="0" collapsed="false">
      <c r="A14" s="28" t="n">
        <v>12</v>
      </c>
      <c r="B14" s="19"/>
      <c r="C14" s="19"/>
      <c r="D14" s="29"/>
      <c r="E14" s="29"/>
      <c r="F14" s="29"/>
      <c r="G14" s="19"/>
      <c r="H14" s="2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9" min="8" style="0" width="22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42" t="s">
        <v>82</v>
      </c>
      <c r="B1" s="42"/>
      <c r="C1" s="42"/>
      <c r="D1" s="42"/>
      <c r="E1" s="42"/>
      <c r="F1" s="42"/>
      <c r="G1" s="42"/>
      <c r="H1" s="42"/>
      <c r="I1" s="42"/>
      <c r="J1" s="42"/>
    </row>
    <row r="2" customFormat="false" ht="21.75" hidden="false" customHeight="true" outlineLevel="0" collapsed="false">
      <c r="A2" s="16" t="s">
        <v>25</v>
      </c>
      <c r="B2" s="16" t="s">
        <v>83</v>
      </c>
      <c r="C2" s="16" t="s">
        <v>27</v>
      </c>
      <c r="D2" s="16" t="s">
        <v>84</v>
      </c>
      <c r="E2" s="16" t="s">
        <v>28</v>
      </c>
      <c r="F2" s="16" t="s">
        <v>85</v>
      </c>
      <c r="G2" s="16" t="s">
        <v>86</v>
      </c>
      <c r="H2" s="16" t="s">
        <v>87</v>
      </c>
      <c r="I2" s="16" t="s">
        <v>88</v>
      </c>
      <c r="J2" s="16" t="s">
        <v>89</v>
      </c>
    </row>
    <row r="3" customFormat="false" ht="19.5" hidden="false" customHeight="true" outlineLevel="0" collapsed="false">
      <c r="A3" s="28" t="n">
        <v>1</v>
      </c>
      <c r="B3" s="19"/>
      <c r="C3" s="19"/>
      <c r="D3" s="30"/>
      <c r="E3" s="30"/>
      <c r="F3" s="19"/>
      <c r="G3" s="29"/>
      <c r="H3" s="29"/>
      <c r="I3" s="29"/>
      <c r="J3" s="29"/>
    </row>
    <row r="4" customFormat="false" ht="19.5" hidden="false" customHeight="true" outlineLevel="0" collapsed="false">
      <c r="A4" s="34" t="n">
        <v>2</v>
      </c>
      <c r="B4" s="23"/>
      <c r="C4" s="23"/>
      <c r="D4" s="36"/>
      <c r="E4" s="36"/>
      <c r="F4" s="23"/>
      <c r="G4" s="35"/>
      <c r="H4" s="35"/>
      <c r="I4" s="35"/>
      <c r="J4" s="35"/>
    </row>
    <row r="5" customFormat="false" ht="19.5" hidden="false" customHeight="true" outlineLevel="0" collapsed="false">
      <c r="A5" s="28" t="n">
        <v>3</v>
      </c>
      <c r="B5" s="19"/>
      <c r="C5" s="19"/>
      <c r="D5" s="30"/>
      <c r="E5" s="30"/>
      <c r="F5" s="19"/>
      <c r="G5" s="29"/>
      <c r="H5" s="29"/>
      <c r="I5" s="29"/>
      <c r="J5" s="29"/>
    </row>
    <row r="6" customFormat="false" ht="19.5" hidden="false" customHeight="true" outlineLevel="0" collapsed="false">
      <c r="A6" s="34" t="n">
        <v>4</v>
      </c>
      <c r="B6" s="23"/>
      <c r="C6" s="23"/>
      <c r="D6" s="36"/>
      <c r="E6" s="36"/>
      <c r="F6" s="23"/>
      <c r="G6" s="35"/>
      <c r="H6" s="35"/>
      <c r="I6" s="35"/>
      <c r="J6" s="35"/>
    </row>
    <row r="7" customFormat="false" ht="19.5" hidden="false" customHeight="true" outlineLevel="0" collapsed="false">
      <c r="A7" s="28" t="n">
        <v>5</v>
      </c>
      <c r="B7" s="19"/>
      <c r="C7" s="19"/>
      <c r="D7" s="30"/>
      <c r="E7" s="30"/>
      <c r="F7" s="19"/>
      <c r="G7" s="29"/>
      <c r="H7" s="29"/>
      <c r="I7" s="29"/>
      <c r="J7" s="29"/>
    </row>
    <row r="8" customFormat="false" ht="19.5" hidden="false" customHeight="true" outlineLevel="0" collapsed="false">
      <c r="A8" s="34" t="n">
        <v>6</v>
      </c>
      <c r="B8" s="23"/>
      <c r="C8" s="23"/>
      <c r="D8" s="36"/>
      <c r="E8" s="36"/>
      <c r="F8" s="23"/>
      <c r="G8" s="35"/>
      <c r="H8" s="35"/>
      <c r="I8" s="35"/>
      <c r="J8" s="35"/>
    </row>
    <row r="9" customFormat="false" ht="19.5" hidden="false" customHeight="true" outlineLevel="0" collapsed="false">
      <c r="A9" s="28" t="n">
        <v>7</v>
      </c>
      <c r="B9" s="19"/>
      <c r="C9" s="19"/>
      <c r="D9" s="30"/>
      <c r="E9" s="30"/>
      <c r="F9" s="19"/>
      <c r="G9" s="29"/>
      <c r="H9" s="29"/>
      <c r="I9" s="29"/>
      <c r="J9" s="29"/>
    </row>
    <row r="10" customFormat="false" ht="19.5" hidden="false" customHeight="true" outlineLevel="0" collapsed="false">
      <c r="A10" s="34" t="n">
        <v>8</v>
      </c>
      <c r="B10" s="23"/>
      <c r="C10" s="23"/>
      <c r="D10" s="36"/>
      <c r="E10" s="36"/>
      <c r="F10" s="23"/>
      <c r="G10" s="35"/>
      <c r="H10" s="35"/>
      <c r="I10" s="35"/>
      <c r="J10" s="35"/>
    </row>
    <row r="11" customFormat="false" ht="19.5" hidden="false" customHeight="true" outlineLevel="0" collapsed="false">
      <c r="A11" s="28" t="n">
        <v>9</v>
      </c>
      <c r="B11" s="19"/>
      <c r="C11" s="19"/>
      <c r="D11" s="30"/>
      <c r="E11" s="30"/>
      <c r="F11" s="19"/>
      <c r="G11" s="29"/>
      <c r="H11" s="29"/>
      <c r="I11" s="29"/>
      <c r="J11" s="29"/>
    </row>
    <row r="12" customFormat="false" ht="19.5" hidden="false" customHeight="true" outlineLevel="0" collapsed="false">
      <c r="A12" s="34" t="n">
        <v>10</v>
      </c>
      <c r="B12" s="23"/>
      <c r="C12" s="23"/>
      <c r="D12" s="36"/>
      <c r="E12" s="36"/>
      <c r="F12" s="23"/>
      <c r="G12" s="35"/>
      <c r="H12" s="35"/>
      <c r="I12" s="35"/>
      <c r="J12" s="35"/>
    </row>
    <row r="13" customFormat="false" ht="19.5" hidden="false" customHeight="true" outlineLevel="0" collapsed="false">
      <c r="A13" s="28" t="n">
        <v>11</v>
      </c>
      <c r="B13" s="19"/>
      <c r="C13" s="19"/>
      <c r="D13" s="30"/>
      <c r="E13" s="30"/>
      <c r="F13" s="19"/>
      <c r="G13" s="29"/>
      <c r="H13" s="29"/>
      <c r="I13" s="29"/>
      <c r="J13" s="29"/>
    </row>
    <row r="14" customFormat="false" ht="19.5" hidden="false" customHeight="true" outlineLevel="0" collapsed="false">
      <c r="A14" s="34" t="n">
        <v>12</v>
      </c>
      <c r="B14" s="23"/>
      <c r="C14" s="23"/>
      <c r="D14" s="36"/>
      <c r="E14" s="36"/>
      <c r="F14" s="23"/>
      <c r="G14" s="35"/>
      <c r="H14" s="35"/>
      <c r="I14" s="35"/>
      <c r="J14" s="35"/>
    </row>
    <row r="15" customFormat="false" ht="19.5" hidden="false" customHeight="true" outlineLevel="0" collapsed="false">
      <c r="A15" s="28" t="n">
        <v>13</v>
      </c>
      <c r="B15" s="19"/>
      <c r="C15" s="19"/>
      <c r="D15" s="30"/>
      <c r="E15" s="30"/>
      <c r="F15" s="19"/>
      <c r="G15" s="29"/>
      <c r="H15" s="29"/>
      <c r="I15" s="29"/>
      <c r="J15" s="29"/>
    </row>
    <row r="16" customFormat="false" ht="19.5" hidden="false" customHeight="true" outlineLevel="0" collapsed="false">
      <c r="A16" s="34" t="n">
        <v>14</v>
      </c>
      <c r="B16" s="23"/>
      <c r="C16" s="23"/>
      <c r="D16" s="36"/>
      <c r="E16" s="36"/>
      <c r="F16" s="23"/>
      <c r="G16" s="35"/>
      <c r="H16" s="35"/>
      <c r="I16" s="35"/>
      <c r="J16" s="35"/>
    </row>
    <row r="17" customFormat="false" ht="19.5" hidden="false" customHeight="true" outlineLevel="0" collapsed="false">
      <c r="A17" s="28" t="n">
        <v>15</v>
      </c>
      <c r="B17" s="19"/>
      <c r="C17" s="19"/>
      <c r="D17" s="30"/>
      <c r="E17" s="30"/>
      <c r="F17" s="19"/>
      <c r="G17" s="29"/>
      <c r="H17" s="29"/>
      <c r="I17" s="29"/>
      <c r="J17" s="29"/>
    </row>
    <row r="18" customFormat="false" ht="19.5" hidden="false" customHeight="true" outlineLevel="0" collapsed="false">
      <c r="A18" s="34" t="n">
        <v>16</v>
      </c>
      <c r="B18" s="23"/>
      <c r="C18" s="23"/>
      <c r="D18" s="36"/>
      <c r="E18" s="36"/>
      <c r="F18" s="23"/>
      <c r="G18" s="35"/>
      <c r="H18" s="35"/>
      <c r="I18" s="35"/>
      <c r="J18" s="35"/>
    </row>
    <row r="19" customFormat="false" ht="19.5" hidden="false" customHeight="true" outlineLevel="0" collapsed="false">
      <c r="A19" s="28" t="n">
        <v>17</v>
      </c>
      <c r="B19" s="19"/>
      <c r="C19" s="19"/>
      <c r="D19" s="30"/>
      <c r="E19" s="30"/>
      <c r="F19" s="19"/>
      <c r="G19" s="29"/>
      <c r="H19" s="29"/>
      <c r="I19" s="29"/>
      <c r="J19" s="29"/>
    </row>
    <row r="20" customFormat="false" ht="19.5" hidden="false" customHeight="true" outlineLevel="0" collapsed="false">
      <c r="A20" s="34" t="n">
        <v>18</v>
      </c>
      <c r="B20" s="23"/>
      <c r="C20" s="23"/>
      <c r="D20" s="36"/>
      <c r="E20" s="36"/>
      <c r="F20" s="23"/>
      <c r="G20" s="35"/>
      <c r="H20" s="35"/>
      <c r="I20" s="35"/>
      <c r="J20" s="35"/>
    </row>
    <row r="21" customFormat="false" ht="19.5" hidden="false" customHeight="true" outlineLevel="0" collapsed="false">
      <c r="A21" s="28" t="n">
        <v>19</v>
      </c>
      <c r="B21" s="19"/>
      <c r="C21" s="19"/>
      <c r="D21" s="30"/>
      <c r="E21" s="30"/>
      <c r="F21" s="19"/>
      <c r="G21" s="29"/>
      <c r="H21" s="29"/>
      <c r="I21" s="29"/>
      <c r="J21" s="29"/>
    </row>
    <row r="22" customFormat="false" ht="19.5" hidden="false" customHeight="true" outlineLevel="0" collapsed="false">
      <c r="A22" s="34" t="n">
        <v>20</v>
      </c>
      <c r="B22" s="23"/>
      <c r="C22" s="23"/>
      <c r="D22" s="36"/>
      <c r="E22" s="36"/>
      <c r="F22" s="23"/>
      <c r="G22" s="35"/>
      <c r="H22" s="35"/>
      <c r="I22" s="35"/>
      <c r="J22" s="35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D3:D200" type="list">
      <formula1>"Critical,High,Medium,Low"</formula1>
      <formula2>0</formula2>
    </dataValidation>
    <dataValidation allowBlank="true" errorStyle="stop" operator="between" showDropDown="false" showErrorMessage="false" showInputMessage="false" sqref="E3:E200" type="list">
      <formula1>"Open,In Progress,Fixed,Closed,Wont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8"/>
  </cols>
  <sheetData>
    <row r="1" customFormat="false" ht="36" hidden="false" customHeight="true" outlineLevel="0" collapsed="false">
      <c r="A1" s="26" t="s">
        <v>90</v>
      </c>
      <c r="B1" s="26"/>
      <c r="C1" s="26"/>
      <c r="D1" s="26"/>
      <c r="E1" s="26"/>
    </row>
    <row r="2" customFormat="false" ht="19.5" hidden="false" customHeight="true" outlineLevel="0" collapsed="false">
      <c r="A2" s="27" t="s">
        <v>91</v>
      </c>
      <c r="B2" s="27" t="s">
        <v>92</v>
      </c>
      <c r="C2" s="27" t="s">
        <v>93</v>
      </c>
      <c r="D2" s="27" t="s">
        <v>94</v>
      </c>
      <c r="E2" s="27" t="s">
        <v>15</v>
      </c>
    </row>
    <row r="3" customFormat="false" ht="18" hidden="false" customHeight="true" outlineLevel="0" collapsed="false">
      <c r="A3" s="29" t="s">
        <v>95</v>
      </c>
      <c r="B3" s="18" t="s">
        <v>96</v>
      </c>
      <c r="C3" s="29" t="s">
        <v>97</v>
      </c>
      <c r="D3" s="43" t="s">
        <v>98</v>
      </c>
      <c r="E3" s="29" t="s">
        <v>99</v>
      </c>
    </row>
    <row r="4" customFormat="false" ht="18" hidden="false" customHeight="true" outlineLevel="0" collapsed="false">
      <c r="A4" s="35" t="s">
        <v>95</v>
      </c>
      <c r="B4" s="22" t="s">
        <v>100</v>
      </c>
      <c r="C4" s="35" t="s">
        <v>101</v>
      </c>
      <c r="D4" s="44" t="s">
        <v>102</v>
      </c>
      <c r="E4" s="35"/>
    </row>
    <row r="5" customFormat="false" ht="18" hidden="false" customHeight="true" outlineLevel="0" collapsed="false">
      <c r="A5" s="29" t="s">
        <v>95</v>
      </c>
      <c r="B5" s="18" t="s">
        <v>103</v>
      </c>
      <c r="C5" s="29" t="s">
        <v>104</v>
      </c>
      <c r="D5" s="43" t="s">
        <v>105</v>
      </c>
      <c r="E5" s="29" t="s">
        <v>106</v>
      </c>
    </row>
    <row r="6" customFormat="false" ht="18" hidden="false" customHeight="true" outlineLevel="0" collapsed="false">
      <c r="A6" s="35" t="s">
        <v>95</v>
      </c>
      <c r="B6" s="22" t="s">
        <v>107</v>
      </c>
      <c r="C6" s="35" t="s">
        <v>108</v>
      </c>
      <c r="D6" s="44" t="s">
        <v>109</v>
      </c>
      <c r="E6" s="35"/>
    </row>
    <row r="7" customFormat="false" ht="18" hidden="false" customHeight="true" outlineLevel="0" collapsed="false">
      <c r="A7" s="29" t="s">
        <v>110</v>
      </c>
      <c r="B7" s="18" t="s">
        <v>111</v>
      </c>
      <c r="C7" s="29" t="s">
        <v>112</v>
      </c>
      <c r="D7" s="43" t="s">
        <v>113</v>
      </c>
      <c r="E7" s="29" t="s">
        <v>114</v>
      </c>
    </row>
    <row r="8" customFormat="false" ht="18" hidden="false" customHeight="true" outlineLevel="0" collapsed="false">
      <c r="A8" s="35" t="s">
        <v>110</v>
      </c>
      <c r="B8" s="22" t="s">
        <v>115</v>
      </c>
      <c r="C8" s="35" t="s">
        <v>116</v>
      </c>
      <c r="D8" s="44" t="s">
        <v>117</v>
      </c>
      <c r="E8" s="35" t="s">
        <v>118</v>
      </c>
    </row>
    <row r="9" customFormat="false" ht="18" hidden="false" customHeight="true" outlineLevel="0" collapsed="false">
      <c r="A9" s="29" t="s">
        <v>110</v>
      </c>
      <c r="B9" s="18" t="s">
        <v>119</v>
      </c>
      <c r="C9" s="29" t="s">
        <v>120</v>
      </c>
      <c r="D9" s="43" t="s">
        <v>121</v>
      </c>
      <c r="E9" s="29" t="s">
        <v>122</v>
      </c>
    </row>
    <row r="10" customFormat="false" ht="18" hidden="false" customHeight="true" outlineLevel="0" collapsed="false">
      <c r="A10" s="35" t="s">
        <v>123</v>
      </c>
      <c r="B10" s="22" t="s">
        <v>124</v>
      </c>
      <c r="C10" s="35" t="s">
        <v>125</v>
      </c>
      <c r="D10" s="44" t="s">
        <v>126</v>
      </c>
      <c r="E10" s="35" t="s">
        <v>127</v>
      </c>
    </row>
    <row r="11" customFormat="false" ht="18" hidden="false" customHeight="true" outlineLevel="0" collapsed="false">
      <c r="A11" s="29" t="s">
        <v>123</v>
      </c>
      <c r="B11" s="18" t="s">
        <v>128</v>
      </c>
      <c r="C11" s="29" t="s">
        <v>129</v>
      </c>
      <c r="D11" s="43" t="s">
        <v>130</v>
      </c>
      <c r="E11" s="29" t="s">
        <v>131</v>
      </c>
    </row>
    <row r="12" customFormat="false" ht="18" hidden="false" customHeight="true" outlineLevel="0" collapsed="false">
      <c r="A12" s="35" t="s">
        <v>123</v>
      </c>
      <c r="B12" s="22" t="s">
        <v>132</v>
      </c>
      <c r="C12" s="35" t="s">
        <v>133</v>
      </c>
      <c r="D12" s="44" t="s">
        <v>134</v>
      </c>
      <c r="E12" s="35" t="s">
        <v>135</v>
      </c>
    </row>
    <row r="13" customFormat="false" ht="18" hidden="false" customHeight="true" outlineLevel="0" collapsed="false">
      <c r="A13" s="29" t="s">
        <v>136</v>
      </c>
      <c r="B13" s="18" t="s">
        <v>137</v>
      </c>
      <c r="C13" s="29" t="s">
        <v>138</v>
      </c>
      <c r="D13" s="43" t="s">
        <v>139</v>
      </c>
      <c r="E13" s="29" t="s">
        <v>140</v>
      </c>
    </row>
    <row r="14" customFormat="false" ht="18" hidden="false" customHeight="true" outlineLevel="0" collapsed="false">
      <c r="A14" s="35" t="s">
        <v>136</v>
      </c>
      <c r="B14" s="22" t="s">
        <v>141</v>
      </c>
      <c r="C14" s="35" t="s">
        <v>142</v>
      </c>
      <c r="D14" s="44" t="s">
        <v>143</v>
      </c>
      <c r="E14" s="35"/>
    </row>
    <row r="15" customFormat="false" ht="18" hidden="false" customHeight="true" outlineLevel="0" collapsed="false">
      <c r="A15" s="29" t="s">
        <v>144</v>
      </c>
      <c r="B15" s="18" t="s">
        <v>145</v>
      </c>
      <c r="C15" s="29" t="s">
        <v>146</v>
      </c>
      <c r="D15" s="43" t="s">
        <v>147</v>
      </c>
      <c r="E15" s="29" t="s">
        <v>148</v>
      </c>
    </row>
    <row r="16" customFormat="false" ht="18" hidden="false" customHeight="true" outlineLevel="0" collapsed="false">
      <c r="A16" s="35" t="s">
        <v>149</v>
      </c>
      <c r="B16" s="22" t="s">
        <v>150</v>
      </c>
      <c r="C16" s="35" t="s">
        <v>151</v>
      </c>
      <c r="D16" s="44" t="s">
        <v>152</v>
      </c>
      <c r="E16" s="35" t="s">
        <v>153</v>
      </c>
    </row>
    <row r="17" customFormat="false" ht="18" hidden="false" customHeight="true" outlineLevel="0" collapsed="false">
      <c r="A17" s="29" t="s">
        <v>149</v>
      </c>
      <c r="B17" s="18" t="s">
        <v>154</v>
      </c>
      <c r="C17" s="29" t="s">
        <v>155</v>
      </c>
      <c r="D17" s="43" t="s">
        <v>156</v>
      </c>
      <c r="E17" s="29"/>
    </row>
    <row r="18" customFormat="false" ht="18" hidden="false" customHeight="true" outlineLevel="0" collapsed="false">
      <c r="A18" s="35" t="s">
        <v>149</v>
      </c>
      <c r="B18" s="22" t="s">
        <v>157</v>
      </c>
      <c r="C18" s="35" t="s">
        <v>158</v>
      </c>
      <c r="D18" s="44" t="s">
        <v>159</v>
      </c>
      <c r="E18" s="35"/>
    </row>
    <row r="19" customFormat="false" ht="18" hidden="false" customHeight="true" outlineLevel="0" collapsed="false">
      <c r="A19" s="29" t="s">
        <v>160</v>
      </c>
      <c r="B19" s="18" t="s">
        <v>161</v>
      </c>
      <c r="C19" s="29" t="s">
        <v>162</v>
      </c>
      <c r="D19" s="43" t="s">
        <v>163</v>
      </c>
      <c r="E19" s="29" t="s">
        <v>164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2026-03-01T17:18:40Z</dcterms:created>
  <dc:creator>openpyxl</dc:creator>
  <dc:description/>
  <dc:language>en-US</dc:language>
  <cp:lastModifiedBy/>
  <dcterms:modified xsi:type="dcterms:W3CDTF">2026-03-01T17:18:40Z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